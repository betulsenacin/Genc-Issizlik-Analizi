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xr:revisionPtr revIDLastSave="0" documentId="8_{2E3AF522-B982-4817-9527-9051AE85B24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D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2" i="1"/>
  <c r="G2" i="1"/>
</calcChain>
</file>

<file path=xl/sharedStrings.xml><?xml version="1.0" encoding="utf-8"?>
<sst xmlns="http://schemas.openxmlformats.org/spreadsheetml/2006/main" count="128" uniqueCount="116">
  <si>
    <t>Tarih</t>
  </si>
  <si>
    <t>TP_GENENDEKS_T1</t>
  </si>
  <si>
    <t>TP_TSANAYMT2021_Y1</t>
  </si>
  <si>
    <t>İşsizlik oranı</t>
  </si>
  <si>
    <t xml:space="preserve">İşgücüne katılma oranı
</t>
  </si>
  <si>
    <t>ln_enflasyon</t>
  </si>
  <si>
    <t>ln_sanayi</t>
  </si>
  <si>
    <t>2019-01</t>
  </si>
  <si>
    <t>2019-02</t>
  </si>
  <si>
    <t>2019-03</t>
  </si>
  <si>
    <t xml:space="preserve"> 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</si>
  <si>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</si>
  <si>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</si>
  <si>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</si>
  <si>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</si>
  <si>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</si>
  <si>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</si>
  <si>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</si>
  <si>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</si>
  <si>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</si>
  <si>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</si>
  <si>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</si>
  <si>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</si>
  <si>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</si>
  <si>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</si>
  <si>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</si>
  <si>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</si>
  <si>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</si>
  <si>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</si>
  <si>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</si>
  <si>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</si>
  <si>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</si>
  <si>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</si>
  <si>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</si>
  <si>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</si>
  <si>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</si>
  <si>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</si>
  <si>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</si>
  <si>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</si>
  <si>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</si>
  <si>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</si>
  <si>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</si>
  <si>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</si>
  <si>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</si>
  <si>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</si>
  <si>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</si>
  <si>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</si>
  <si>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</si>
  <si>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</si>
  <si>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</si>
  <si>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</si>
  <si>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</si>
  <si>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</si>
  <si>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</si>
  <si>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</si>
  <si>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</si>
  <si>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</si>
  <si>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</si>
  <si>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</si>
  <si>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</si>
  <si>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</si>
  <si>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</si>
  <si>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</si>
  <si>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</si>
  <si>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</si>
  <si>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</si>
  <si>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</si>
  <si>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</si>
  <si>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</si>
  <si>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</si>
  <si>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</si>
  <si>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</si>
  <si>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</si>
  <si>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</si>
  <si>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</si>
  <si>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</si>
  <si>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</si>
  <si>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</si>
  <si>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</si>
  <si>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</si>
  <si>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</si>
  <si>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</si>
  <si>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</si>
  <si>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</si>
  <si>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</si>
  <si>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</si>
  <si>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</si>
  <si>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</si>
  <si>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</si>
  <si>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</si>
  <si>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</si>
  <si>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</si>
  <si>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Seri Açıklamaları</t>
  </si>
  <si>
    <t>TP.GENENDEKS.T1</t>
  </si>
  <si>
    <t>Genel Endeks (2003=100)-Düzey</t>
  </si>
  <si>
    <t>TP.TSANAYMT2021.Y1</t>
  </si>
  <si>
    <t>Toplam sanayi-Düzey</t>
  </si>
  <si>
    <t>Notlar</t>
  </si>
  <si>
    <t>Veri Kaynağı</t>
  </si>
  <si>
    <t>TÜİK</t>
  </si>
  <si>
    <t>Kaynak: TÜİK, İşgücü İstatistikleri</t>
  </si>
  <si>
    <t>Veri Yayımlama Takvimi</t>
  </si>
  <si>
    <t>https://www,tuik,gov,tr/Kurumsal/Veri_Takvimi</t>
  </si>
  <si>
    <t>Not  1) Rakamlar yuvarlamadan dolayı toplamı vermeyebilir.</t>
  </si>
  <si>
    <t>Uygulama Değişiklik Linki</t>
  </si>
  <si>
    <t>https://data,tuik,gov,tr/Kategori/GetKategori?p=enflasyon-ve-fiyat-106&amp;dil=1</t>
  </si>
  <si>
    <t xml:space="preserve">        2) 2005-2020 aylık sonuçlar model ile tahmin edilmiştir. </t>
  </si>
  <si>
    <t>Metodoloji Linki</t>
  </si>
  <si>
    <t xml:space="preserve">Gözlem sayısının yetersiz olduğu göstergeler için cinsiyet </t>
  </si>
  <si>
    <t>Revizyon Politika Linki</t>
  </si>
  <si>
    <t>detayında tahmin üretilememiştir.</t>
  </si>
  <si>
    <t>Etiketler</t>
  </si>
  <si>
    <t>Tüketici, Fiyat, Endeksi, TÜFE</t>
  </si>
  <si>
    <t>(r) Veriler revize edilmiştir.</t>
  </si>
  <si>
    <t>https://data,tuik,gov,tr/Kategori/GetKategori?p=sanayi-114&amp;dil=1</t>
  </si>
  <si>
    <t>Sanayi, Üretim, Endeksi, SÜE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</si>
</sst>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indexed="8"/>
      <name val="Calibri"/>
      <family val="2"/>
      <scheme val="minor"/>
    </font>
    <font>
      <b/>
      <sz val="11"/>
      <name val="Calibri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color rgb="FF000000"/>
      <name val="Arial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1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164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4" fillId="0" borderId="1" xfId="0" applyNumberFormat="1" applyFont="1" applyBorder="1" applyAlignment="1">
      <alignment horizontal="righ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2" borderId="0" xfId="1" applyFont="1" applyFill="1"/>
    <xf numFmtId="0" fontId="2" fillId="0" borderId="0" xfId="0" applyFont="1"/>
    <xf numFmtId="0" fontId="5" fillId="0" borderId="0" xfId="0" applyFont="1"/>
  </cellXfs>
  <cellStyles count="2">
    <cellStyle name="Normal" xfId="0" builtinId="0"/>
    <cellStyle name="Normal 3" xfId="1" xr:uid="{796C96E2-CDC4-4FC0-B43B-D7DDA14378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J26" sqref="J26"/>
    </sheetView>
  </sheetViews>
  <sheetFormatPr defaultRowHeight="15"/>
  <cols>
    <col min="1" max="1" width="20.42578125" bestFit="1" customWidth="1"/>
    <col min="2" max="2" width="28.42578125" customWidth="1"/>
    <col min="3" max="3" width="68.85546875" bestFit="1" customWidth="1"/>
    <col min="6" max="6" width="45.7109375" bestFit="1" customWidth="1"/>
    <col min="7" max="7" width="12.28515625" bestFit="1" customWidth="1"/>
  </cols>
  <sheetData>
    <row r="1" spans="1:10" ht="44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t="s">
        <v>5</v>
      </c>
      <c r="G1" t="s">
        <v>6</v>
      </c>
    </row>
    <row r="2" spans="1:10">
      <c r="A2" t="s">
        <v>7</v>
      </c>
      <c r="B2" s="2">
        <v>398.07</v>
      </c>
      <c r="C2" s="2">
        <v>8070445519</v>
      </c>
      <c r="D2" s="3">
        <v>25.1</v>
      </c>
      <c r="E2" s="3">
        <v>44.5</v>
      </c>
      <c r="F2">
        <f>LN(B2)</f>
        <v>5.9866278692164547</v>
      </c>
      <c r="G2">
        <f>LN(C2)</f>
        <v>22.811474524519795</v>
      </c>
    </row>
    <row r="3" spans="1:10">
      <c r="A3" t="s">
        <v>8</v>
      </c>
      <c r="B3" s="2">
        <v>398.71</v>
      </c>
      <c r="C3" s="2">
        <v>8163313129</v>
      </c>
      <c r="D3" s="3">
        <v>25.2</v>
      </c>
      <c r="E3" s="3">
        <v>45.2</v>
      </c>
      <c r="F3">
        <f t="shared" ref="F3:F66" si="0">LN(B3)</f>
        <v>5.9882343355876966</v>
      </c>
      <c r="G3">
        <f t="shared" ref="G3:G66" si="1">LN(C3)</f>
        <v>22.822915944229106</v>
      </c>
    </row>
    <row r="4" spans="1:10">
      <c r="A4" t="s">
        <v>9</v>
      </c>
      <c r="B4" s="2">
        <v>402.81</v>
      </c>
      <c r="C4" s="2">
        <v>8408054585</v>
      </c>
      <c r="D4" s="3">
        <v>25.7</v>
      </c>
      <c r="E4" s="3">
        <v>45.6</v>
      </c>
      <c r="F4">
        <f t="shared" si="0"/>
        <v>5.998464986752726</v>
      </c>
      <c r="G4">
        <f t="shared" si="1"/>
        <v>22.852455962531387</v>
      </c>
      <c r="J4" t="s">
        <v>10</v>
      </c>
    </row>
    <row r="5" spans="1:10">
      <c r="A5" t="s">
        <v>11</v>
      </c>
      <c r="B5" s="2">
        <v>409.63</v>
      </c>
      <c r="C5" s="2">
        <v>836112896</v>
      </c>
      <c r="D5" s="3">
        <v>25.4</v>
      </c>
      <c r="E5" s="3">
        <v>45.6</v>
      </c>
      <c r="F5">
        <f t="shared" si="0"/>
        <v>6.0152543132307201</v>
      </c>
      <c r="G5">
        <f t="shared" si="1"/>
        <v>20.544274204993684</v>
      </c>
    </row>
    <row r="6" spans="1:10">
      <c r="A6" t="s">
        <v>12</v>
      </c>
      <c r="B6" s="2">
        <v>413.52</v>
      </c>
      <c r="C6" s="2">
        <v>8430787227</v>
      </c>
      <c r="D6" s="3">
        <v>23.9</v>
      </c>
      <c r="E6" s="3">
        <v>44.6</v>
      </c>
      <c r="F6">
        <f t="shared" si="0"/>
        <v>6.024705880887784</v>
      </c>
      <c r="G6">
        <f t="shared" si="1"/>
        <v>22.855155988585928</v>
      </c>
    </row>
    <row r="7" spans="1:10">
      <c r="A7" t="s">
        <v>13</v>
      </c>
      <c r="B7" s="2">
        <v>413.63</v>
      </c>
      <c r="C7" s="2">
        <v>8069477281</v>
      </c>
      <c r="D7" s="3">
        <v>25.6</v>
      </c>
      <c r="E7" s="3">
        <v>44.6</v>
      </c>
      <c r="F7">
        <f t="shared" si="0"/>
        <v>6.0249718544128967</v>
      </c>
      <c r="G7">
        <f t="shared" si="1"/>
        <v>22.811354544020116</v>
      </c>
    </row>
    <row r="8" spans="1:10">
      <c r="A8" t="s">
        <v>14</v>
      </c>
      <c r="B8" s="2">
        <v>419.24</v>
      </c>
      <c r="C8" s="2">
        <v>8443419438</v>
      </c>
      <c r="D8" s="3">
        <v>25.2</v>
      </c>
      <c r="E8" s="3">
        <v>44.3</v>
      </c>
      <c r="F8">
        <f t="shared" si="0"/>
        <v>6.0384435483019763</v>
      </c>
      <c r="G8">
        <f t="shared" si="1"/>
        <v>22.856653210186984</v>
      </c>
    </row>
    <row r="9" spans="1:10">
      <c r="A9" t="s">
        <v>15</v>
      </c>
      <c r="B9" s="2">
        <v>422.84</v>
      </c>
      <c r="C9" s="2">
        <v>8208003668</v>
      </c>
      <c r="D9" s="3">
        <v>27</v>
      </c>
      <c r="E9" s="3">
        <v>44.4</v>
      </c>
      <c r="F9">
        <f t="shared" si="0"/>
        <v>6.0469938569004622</v>
      </c>
      <c r="G9">
        <f t="shared" si="1"/>
        <v>22.828375572255815</v>
      </c>
    </row>
    <row r="10" spans="1:10">
      <c r="A10" t="s">
        <v>16</v>
      </c>
      <c r="B10" s="2">
        <v>427.04</v>
      </c>
      <c r="C10" s="2">
        <v>851543403</v>
      </c>
      <c r="D10" s="4">
        <v>25.9</v>
      </c>
      <c r="E10" s="4">
        <v>43.3</v>
      </c>
      <c r="F10">
        <f t="shared" si="0"/>
        <v>6.0568776856562137</v>
      </c>
      <c r="G10">
        <f t="shared" si="1"/>
        <v>20.562561029169611</v>
      </c>
    </row>
    <row r="11" spans="1:10">
      <c r="A11" t="s">
        <v>17</v>
      </c>
      <c r="B11" s="2">
        <v>435.59</v>
      </c>
      <c r="C11" s="2">
        <v>8403135176</v>
      </c>
      <c r="D11" s="4">
        <v>25.1</v>
      </c>
      <c r="E11" s="4">
        <v>43</v>
      </c>
      <c r="F11">
        <f t="shared" si="0"/>
        <v>6.0767014339541543</v>
      </c>
      <c r="G11">
        <f t="shared" si="1"/>
        <v>22.851870708398828</v>
      </c>
    </row>
    <row r="12" spans="1:10">
      <c r="A12" t="s">
        <v>18</v>
      </c>
      <c r="B12" s="2">
        <v>437.25</v>
      </c>
      <c r="C12" s="2">
        <v>8456833504</v>
      </c>
      <c r="D12" s="4">
        <v>25.5</v>
      </c>
      <c r="E12" s="4">
        <v>43.2</v>
      </c>
      <c r="F12">
        <f t="shared" si="0"/>
        <v>6.0805051138987114</v>
      </c>
      <c r="G12">
        <f t="shared" si="1"/>
        <v>22.858240650193114</v>
      </c>
    </row>
    <row r="13" spans="1:10">
      <c r="A13" t="s">
        <v>19</v>
      </c>
      <c r="B13" s="2">
        <v>440.5</v>
      </c>
      <c r="C13" s="2">
        <v>8626999764</v>
      </c>
      <c r="D13" s="4">
        <v>23.7</v>
      </c>
      <c r="E13" s="4">
        <v>42</v>
      </c>
      <c r="F13">
        <f t="shared" si="0"/>
        <v>6.0879104453762345</v>
      </c>
      <c r="G13">
        <f t="shared" si="1"/>
        <v>22.878162629684876</v>
      </c>
    </row>
    <row r="14" spans="1:10">
      <c r="A14" t="s">
        <v>20</v>
      </c>
      <c r="B14" s="2">
        <v>446.45</v>
      </c>
      <c r="C14" s="2">
        <v>8603577803</v>
      </c>
      <c r="D14" s="4">
        <v>24.1</v>
      </c>
      <c r="E14" s="4">
        <v>42.7</v>
      </c>
      <c r="F14">
        <f t="shared" si="0"/>
        <v>6.1013274119632257</v>
      </c>
      <c r="G14">
        <f t="shared" si="1"/>
        <v>22.875443977296698</v>
      </c>
    </row>
    <row r="15" spans="1:10">
      <c r="A15" t="s">
        <v>21</v>
      </c>
      <c r="B15" s="2">
        <v>448.02</v>
      </c>
      <c r="C15" s="2">
        <v>8827499866</v>
      </c>
      <c r="D15" s="4">
        <v>23.4</v>
      </c>
      <c r="E15" s="4">
        <v>40.9</v>
      </c>
      <c r="F15">
        <f t="shared" si="0"/>
        <v>6.104837874275665</v>
      </c>
      <c r="G15">
        <f t="shared" si="1"/>
        <v>22.90113767058698</v>
      </c>
    </row>
    <row r="16" spans="1:10">
      <c r="A16" t="s">
        <v>22</v>
      </c>
      <c r="B16" s="2">
        <v>450.58</v>
      </c>
      <c r="C16" s="2">
        <v>8285737742</v>
      </c>
      <c r="D16" s="4">
        <v>23</v>
      </c>
      <c r="E16" s="4">
        <v>39</v>
      </c>
      <c r="F16">
        <f t="shared" si="0"/>
        <v>6.1105356417489967</v>
      </c>
      <c r="G16">
        <f t="shared" si="1"/>
        <v>22.837801529364544</v>
      </c>
    </row>
    <row r="17" spans="1:7">
      <c r="A17" t="s">
        <v>23</v>
      </c>
      <c r="B17" s="2">
        <v>454.43</v>
      </c>
      <c r="C17" s="2">
        <v>5856760355</v>
      </c>
      <c r="D17" s="4">
        <v>24.3</v>
      </c>
      <c r="E17" s="4">
        <v>38.1</v>
      </c>
      <c r="F17">
        <f t="shared" si="0"/>
        <v>6.1190438863544037</v>
      </c>
      <c r="G17">
        <f t="shared" si="1"/>
        <v>22.490862447219023</v>
      </c>
    </row>
    <row r="18" spans="1:7">
      <c r="A18" t="s">
        <v>24</v>
      </c>
      <c r="B18" s="2">
        <v>460.62</v>
      </c>
      <c r="C18" s="2">
        <v>6949693898</v>
      </c>
      <c r="D18" s="4">
        <v>25</v>
      </c>
      <c r="E18" s="4">
        <v>38.200000000000003</v>
      </c>
      <c r="F18">
        <f t="shared" si="0"/>
        <v>6.132573408067862</v>
      </c>
      <c r="G18">
        <f t="shared" si="1"/>
        <v>22.661963452099933</v>
      </c>
    </row>
    <row r="19" spans="1:7">
      <c r="A19" t="s">
        <v>25</v>
      </c>
      <c r="B19" s="2">
        <v>465.84</v>
      </c>
      <c r="C19" s="2">
        <v>8042113409</v>
      </c>
      <c r="D19" s="4">
        <v>24.7</v>
      </c>
      <c r="E19" s="4">
        <v>38.700000000000003</v>
      </c>
      <c r="F19">
        <f t="shared" si="0"/>
        <v>6.1438422275288644</v>
      </c>
      <c r="G19">
        <f t="shared" si="1"/>
        <v>22.807957747411091</v>
      </c>
    </row>
    <row r="20" spans="1:7">
      <c r="A20" t="s">
        <v>26</v>
      </c>
      <c r="B20" s="2">
        <v>468.56</v>
      </c>
      <c r="C20" s="2">
        <v>8923330303</v>
      </c>
      <c r="D20" s="4">
        <v>25.4</v>
      </c>
      <c r="E20" s="4">
        <v>39.299999999999997</v>
      </c>
      <c r="F20">
        <f t="shared" si="0"/>
        <v>6.1496641617815264</v>
      </c>
      <c r="G20">
        <f t="shared" si="1"/>
        <v>22.911935066213942</v>
      </c>
    </row>
    <row r="21" spans="1:7">
      <c r="A21" t="s">
        <v>27</v>
      </c>
      <c r="B21" s="2">
        <v>472.61</v>
      </c>
      <c r="C21" s="2">
        <v>905869478</v>
      </c>
      <c r="D21" s="4">
        <v>24.5</v>
      </c>
      <c r="E21" s="4">
        <v>38.9</v>
      </c>
      <c r="F21">
        <f t="shared" si="0"/>
        <v>6.1582705240719013</v>
      </c>
      <c r="G21">
        <f t="shared" si="1"/>
        <v>20.624405789611377</v>
      </c>
    </row>
    <row r="22" spans="1:7">
      <c r="A22" t="s">
        <v>28</v>
      </c>
      <c r="B22" s="2">
        <v>477.21</v>
      </c>
      <c r="C22" s="2">
        <v>92534226</v>
      </c>
      <c r="D22" s="4">
        <v>25.5</v>
      </c>
      <c r="E22" s="4">
        <v>39.9</v>
      </c>
      <c r="F22">
        <f t="shared" si="0"/>
        <v>6.1679566455783785</v>
      </c>
      <c r="G22">
        <f t="shared" si="1"/>
        <v>18.343089144856346</v>
      </c>
    </row>
    <row r="23" spans="1:7">
      <c r="A23" t="s">
        <v>29</v>
      </c>
      <c r="B23" s="2">
        <v>487.38</v>
      </c>
      <c r="C23" s="2">
        <v>9268082313</v>
      </c>
      <c r="D23" s="4">
        <v>24.9</v>
      </c>
      <c r="E23" s="4">
        <v>39.9</v>
      </c>
      <c r="F23">
        <f t="shared" si="0"/>
        <v>6.1890441062909174</v>
      </c>
      <c r="G23">
        <f t="shared" si="1"/>
        <v>22.949842324897041</v>
      </c>
    </row>
    <row r="24" spans="1:7">
      <c r="A24" t="s">
        <v>30</v>
      </c>
      <c r="B24" s="2">
        <v>498.58</v>
      </c>
      <c r="C24" s="2">
        <v>9388623598</v>
      </c>
      <c r="D24" s="4">
        <v>25.1</v>
      </c>
      <c r="E24" s="4">
        <v>39.700000000000003</v>
      </c>
      <c r="F24">
        <f t="shared" si="0"/>
        <v>6.2117640579704565</v>
      </c>
      <c r="G24">
        <f t="shared" si="1"/>
        <v>22.962764537739798</v>
      </c>
    </row>
    <row r="25" spans="1:7">
      <c r="A25" t="s">
        <v>31</v>
      </c>
      <c r="B25" s="2">
        <v>504.81</v>
      </c>
      <c r="C25" s="2">
        <v>9436351947</v>
      </c>
      <c r="D25" s="4">
        <v>25.9</v>
      </c>
      <c r="E25" s="4">
        <v>39.5</v>
      </c>
      <c r="F25">
        <f t="shared" si="0"/>
        <v>6.2241821208564652</v>
      </c>
      <c r="G25">
        <f t="shared" si="1"/>
        <v>22.967835296121837</v>
      </c>
    </row>
    <row r="26" spans="1:7">
      <c r="A26" t="s">
        <v>32</v>
      </c>
      <c r="B26" s="2">
        <v>513.29999999999995</v>
      </c>
      <c r="C26" s="2">
        <v>9631723924</v>
      </c>
      <c r="D26" s="4">
        <v>24.6</v>
      </c>
      <c r="E26" s="4">
        <v>40.799999999999997</v>
      </c>
      <c r="F26">
        <f t="shared" si="0"/>
        <v>6.2408604695662575</v>
      </c>
      <c r="G26">
        <f t="shared" si="1"/>
        <v>22.988328062726687</v>
      </c>
    </row>
    <row r="27" spans="1:7">
      <c r="A27" t="s">
        <v>33</v>
      </c>
      <c r="B27" s="2">
        <v>517.96</v>
      </c>
      <c r="C27" s="2">
        <v>9656645763</v>
      </c>
      <c r="D27" s="4">
        <v>26.3</v>
      </c>
      <c r="E27" s="4">
        <v>40.200000000000003</v>
      </c>
      <c r="F27">
        <f t="shared" si="0"/>
        <v>6.2498980192006393</v>
      </c>
      <c r="G27">
        <f t="shared" si="1"/>
        <v>22.99091219536961</v>
      </c>
    </row>
    <row r="28" spans="1:7">
      <c r="A28" t="s">
        <v>34</v>
      </c>
      <c r="B28" s="2">
        <v>523.53</v>
      </c>
      <c r="C28" s="2">
        <v>9666786727</v>
      </c>
      <c r="D28" s="4">
        <v>24.6</v>
      </c>
      <c r="E28" s="4">
        <v>42</v>
      </c>
      <c r="F28">
        <f t="shared" si="0"/>
        <v>6.2605943352588893</v>
      </c>
      <c r="G28">
        <f t="shared" si="1"/>
        <v>22.991961798222132</v>
      </c>
    </row>
    <row r="29" spans="1:7">
      <c r="A29" t="s">
        <v>35</v>
      </c>
      <c r="B29" s="2">
        <v>532.32000000000005</v>
      </c>
      <c r="C29" s="2">
        <v>9677485392</v>
      </c>
      <c r="D29" s="4">
        <v>25.1</v>
      </c>
      <c r="E29" s="4">
        <v>42.2</v>
      </c>
      <c r="F29">
        <f t="shared" si="0"/>
        <v>6.2772448122701663</v>
      </c>
      <c r="G29">
        <f t="shared" si="1"/>
        <v>22.993067930934185</v>
      </c>
    </row>
    <row r="30" spans="1:7">
      <c r="A30" t="s">
        <v>36</v>
      </c>
      <c r="B30" s="2">
        <v>537.04999999999995</v>
      </c>
      <c r="C30" s="2">
        <v>9881538909</v>
      </c>
      <c r="D30" s="4">
        <v>24.2</v>
      </c>
      <c r="E30" s="4">
        <v>41.4</v>
      </c>
      <c r="F30">
        <f t="shared" si="0"/>
        <v>6.2860912000440559</v>
      </c>
      <c r="G30">
        <f t="shared" si="1"/>
        <v>23.013934096597097</v>
      </c>
    </row>
    <row r="31" spans="1:7">
      <c r="A31" t="s">
        <v>37</v>
      </c>
      <c r="B31" s="2">
        <v>547.48</v>
      </c>
      <c r="C31" s="2">
        <v>9994506501</v>
      </c>
      <c r="D31" s="4">
        <v>21.2</v>
      </c>
      <c r="E31" s="4">
        <v>41</v>
      </c>
      <c r="F31">
        <f t="shared" si="0"/>
        <v>6.3053259313430656</v>
      </c>
      <c r="G31">
        <f t="shared" si="1"/>
        <v>23.025301429092515</v>
      </c>
    </row>
    <row r="32" spans="1:7">
      <c r="A32" t="s">
        <v>38</v>
      </c>
      <c r="B32" s="2">
        <v>557.36</v>
      </c>
      <c r="C32" s="2">
        <v>9807892986</v>
      </c>
      <c r="D32" s="4">
        <v>21.5</v>
      </c>
      <c r="E32" s="4">
        <v>40.9</v>
      </c>
      <c r="F32">
        <f t="shared" si="0"/>
        <v>6.3232113507218637</v>
      </c>
      <c r="G32">
        <f t="shared" si="1"/>
        <v>23.006453305191673</v>
      </c>
    </row>
    <row r="33" spans="1:7">
      <c r="A33" t="s">
        <v>39</v>
      </c>
      <c r="B33" s="2">
        <v>563.6</v>
      </c>
      <c r="C33" s="2">
        <v>10300162985</v>
      </c>
      <c r="D33" s="4">
        <v>22.2</v>
      </c>
      <c r="E33" s="4">
        <v>41.7</v>
      </c>
      <c r="F33">
        <f t="shared" si="0"/>
        <v>6.3343447800245256</v>
      </c>
      <c r="G33">
        <f t="shared" si="1"/>
        <v>23.055425555843215</v>
      </c>
    </row>
    <row r="34" spans="1:7">
      <c r="A34" t="s">
        <v>40</v>
      </c>
      <c r="B34" s="2">
        <v>570.66</v>
      </c>
      <c r="C34" s="2">
        <v>10125480641</v>
      </c>
      <c r="D34" s="4">
        <v>20.8</v>
      </c>
      <c r="E34" s="4">
        <v>42.1</v>
      </c>
      <c r="F34">
        <f t="shared" si="0"/>
        <v>6.3467935857223488</v>
      </c>
      <c r="G34">
        <f t="shared" si="1"/>
        <v>23.038320919528363</v>
      </c>
    </row>
    <row r="35" spans="1:7">
      <c r="A35" t="s">
        <v>41</v>
      </c>
      <c r="B35" s="2">
        <v>584.32000000000005</v>
      </c>
      <c r="C35" s="2">
        <v>10214430079</v>
      </c>
      <c r="D35" s="4">
        <v>19.8</v>
      </c>
      <c r="E35" s="4">
        <v>41.8</v>
      </c>
      <c r="F35">
        <f t="shared" si="0"/>
        <v>6.3704487779665486</v>
      </c>
      <c r="G35">
        <f t="shared" si="1"/>
        <v>23.047067271099571</v>
      </c>
    </row>
    <row r="36" spans="1:7">
      <c r="A36" t="s">
        <v>42</v>
      </c>
      <c r="B36" s="2">
        <v>604.84</v>
      </c>
      <c r="C36" s="2">
        <v>10523793745</v>
      </c>
      <c r="D36" s="4">
        <v>22.5</v>
      </c>
      <c r="E36" s="4">
        <v>43</v>
      </c>
      <c r="F36">
        <f t="shared" si="0"/>
        <v>6.4049639602444683</v>
      </c>
      <c r="G36">
        <f t="shared" si="1"/>
        <v>23.076904601395725</v>
      </c>
    </row>
    <row r="37" spans="1:7">
      <c r="A37" t="s">
        <v>43</v>
      </c>
      <c r="B37" s="2">
        <v>686.95</v>
      </c>
      <c r="C37" s="2">
        <v>10519552348</v>
      </c>
      <c r="D37" s="4">
        <v>21.1</v>
      </c>
      <c r="E37" s="4">
        <v>42.8</v>
      </c>
      <c r="F37">
        <f t="shared" si="0"/>
        <v>6.532261509369957</v>
      </c>
      <c r="G37">
        <f t="shared" si="1"/>
        <v>23.07650149087911</v>
      </c>
    </row>
    <row r="38" spans="1:7">
      <c r="A38" t="s">
        <v>44</v>
      </c>
      <c r="B38" s="2">
        <v>763.23</v>
      </c>
      <c r="C38" s="2">
        <v>10216139588</v>
      </c>
      <c r="D38" s="4">
        <v>20.3</v>
      </c>
      <c r="E38" s="4">
        <v>42.1</v>
      </c>
      <c r="F38">
        <f t="shared" si="0"/>
        <v>6.6375594275376315</v>
      </c>
      <c r="G38">
        <f t="shared" si="1"/>
        <v>23.04723461924814</v>
      </c>
    </row>
    <row r="39" spans="1:7">
      <c r="A39" t="s">
        <v>45</v>
      </c>
      <c r="B39" s="2">
        <v>799.93</v>
      </c>
      <c r="C39" s="2">
        <v>10824340255</v>
      </c>
      <c r="D39" s="4">
        <v>20.399999999999999</v>
      </c>
      <c r="E39" s="4">
        <v>42.4</v>
      </c>
      <c r="F39">
        <f t="shared" si="0"/>
        <v>6.6845242238395786</v>
      </c>
      <c r="G39">
        <f t="shared" si="1"/>
        <v>23.105063162557332</v>
      </c>
    </row>
    <row r="40" spans="1:7">
      <c r="A40" t="s">
        <v>46</v>
      </c>
      <c r="B40" s="2">
        <v>843.64</v>
      </c>
      <c r="C40" s="2">
        <v>10383452028</v>
      </c>
      <c r="D40" s="4">
        <v>20.399999999999999</v>
      </c>
      <c r="E40" s="4">
        <v>42.6</v>
      </c>
      <c r="F40">
        <f t="shared" si="0"/>
        <v>6.7377258633174142</v>
      </c>
      <c r="G40">
        <f t="shared" si="1"/>
        <v>23.063479224714484</v>
      </c>
    </row>
    <row r="41" spans="1:7">
      <c r="A41" t="s">
        <v>47</v>
      </c>
      <c r="B41" s="2">
        <v>904.79</v>
      </c>
      <c r="C41" s="2">
        <v>10638815545</v>
      </c>
      <c r="D41" s="4">
        <v>19.7</v>
      </c>
      <c r="E41" s="4">
        <v>43.1</v>
      </c>
      <c r="F41">
        <f t="shared" si="0"/>
        <v>6.8077028725746107</v>
      </c>
      <c r="G41">
        <f t="shared" si="1"/>
        <v>23.087774993704624</v>
      </c>
    </row>
    <row r="42" spans="1:7">
      <c r="A42" t="s">
        <v>48</v>
      </c>
      <c r="B42" s="2">
        <v>931.76</v>
      </c>
      <c r="C42" s="2">
        <v>1056888234</v>
      </c>
      <c r="D42" s="4">
        <v>20.8</v>
      </c>
      <c r="E42" s="4">
        <v>43.7</v>
      </c>
      <c r="F42">
        <f t="shared" si="0"/>
        <v>6.8370752707943963</v>
      </c>
      <c r="G42">
        <f t="shared" si="1"/>
        <v>20.778594799360128</v>
      </c>
    </row>
    <row r="43" spans="1:7">
      <c r="A43" t="s">
        <v>49</v>
      </c>
      <c r="B43" s="2">
        <v>977.9</v>
      </c>
      <c r="C43" s="2">
        <v>10774510071</v>
      </c>
      <c r="D43" s="4">
        <v>19.600000000000001</v>
      </c>
      <c r="E43" s="4">
        <v>43.7</v>
      </c>
      <c r="F43">
        <f t="shared" si="0"/>
        <v>6.8854074153182294</v>
      </c>
      <c r="G43">
        <f t="shared" si="1"/>
        <v>23.10044900285375</v>
      </c>
    </row>
    <row r="44" spans="1:7">
      <c r="A44" t="s">
        <v>50</v>
      </c>
      <c r="B44" s="2">
        <v>1001.03</v>
      </c>
      <c r="C44" s="2">
        <v>10005407777</v>
      </c>
      <c r="D44" s="4">
        <v>18.899999999999999</v>
      </c>
      <c r="E44" s="4">
        <v>42.7</v>
      </c>
      <c r="F44">
        <f t="shared" si="0"/>
        <v>6.9087847488960978</v>
      </c>
      <c r="G44">
        <f t="shared" si="1"/>
        <v>23.026391561472892</v>
      </c>
    </row>
    <row r="45" spans="1:7">
      <c r="A45" t="s">
        <v>51</v>
      </c>
      <c r="B45" s="2">
        <v>1015.65</v>
      </c>
      <c r="C45" s="2">
        <v>10387163412</v>
      </c>
      <c r="D45" s="4">
        <v>18.600000000000001</v>
      </c>
      <c r="E45" s="4">
        <v>43.9</v>
      </c>
      <c r="F45">
        <f t="shared" si="0"/>
        <v>6.923284080599764</v>
      </c>
      <c r="G45">
        <f t="shared" si="1"/>
        <v>23.063836593426089</v>
      </c>
    </row>
    <row r="46" spans="1:7">
      <c r="A46" t="s">
        <v>52</v>
      </c>
      <c r="B46" s="2">
        <v>1046.8900000000001</v>
      </c>
      <c r="C46" s="2">
        <v>10135214796</v>
      </c>
      <c r="D46" s="4">
        <v>19.399999999999999</v>
      </c>
      <c r="E46" s="4">
        <v>43.4</v>
      </c>
      <c r="F46">
        <f t="shared" si="0"/>
        <v>6.95357914326899</v>
      </c>
      <c r="G46">
        <f t="shared" si="1"/>
        <v>23.03928181011371</v>
      </c>
    </row>
    <row r="47" spans="1:7">
      <c r="A47" t="s">
        <v>53</v>
      </c>
      <c r="B47" s="2">
        <v>1084</v>
      </c>
      <c r="C47" s="2">
        <v>10487914449</v>
      </c>
      <c r="D47" s="4">
        <v>21.5</v>
      </c>
      <c r="E47" s="4">
        <v>44.4</v>
      </c>
      <c r="F47">
        <f t="shared" si="0"/>
        <v>6.9884131819995918</v>
      </c>
      <c r="G47">
        <f t="shared" si="1"/>
        <v>23.073489426337929</v>
      </c>
    </row>
    <row r="48" spans="1:7">
      <c r="A48" t="s">
        <v>54</v>
      </c>
      <c r="B48" s="2">
        <v>1115.26</v>
      </c>
      <c r="C48" s="2">
        <v>10362885482</v>
      </c>
      <c r="D48" s="4">
        <v>16.5</v>
      </c>
      <c r="E48" s="4">
        <v>47.7</v>
      </c>
      <c r="F48">
        <f t="shared" si="0"/>
        <v>7.016842840567592</v>
      </c>
      <c r="G48">
        <f t="shared" si="1"/>
        <v>23.061496556426427</v>
      </c>
    </row>
    <row r="49" spans="1:7">
      <c r="A49" t="s">
        <v>55</v>
      </c>
      <c r="B49" s="2">
        <v>1128.45</v>
      </c>
      <c r="C49" s="2">
        <v>10491246962</v>
      </c>
      <c r="D49" s="4">
        <v>19.399999999999999</v>
      </c>
      <c r="E49" s="4">
        <v>46.3</v>
      </c>
      <c r="F49">
        <f t="shared" si="0"/>
        <v>7.0286002886743404</v>
      </c>
      <c r="G49">
        <f t="shared" si="1"/>
        <v>23.073807123786622</v>
      </c>
    </row>
    <row r="50" spans="1:7">
      <c r="A50" t="s">
        <v>56</v>
      </c>
      <c r="B50" s="2">
        <v>1203.48</v>
      </c>
      <c r="C50" s="2">
        <v>10628856201</v>
      </c>
      <c r="D50" s="4">
        <v>18.899999999999999</v>
      </c>
      <c r="E50" s="4">
        <v>46.3</v>
      </c>
      <c r="F50">
        <f t="shared" si="0"/>
        <v>7.0929726388881171</v>
      </c>
      <c r="G50">
        <f t="shared" si="1"/>
        <v>23.086838422476053</v>
      </c>
    </row>
    <row r="51" spans="1:7">
      <c r="A51" t="s">
        <v>57</v>
      </c>
      <c r="B51" s="2">
        <v>1241.33</v>
      </c>
      <c r="C51" s="2">
        <v>9932381152</v>
      </c>
      <c r="D51" s="4">
        <v>19</v>
      </c>
      <c r="E51" s="4">
        <v>45.8</v>
      </c>
      <c r="F51">
        <f t="shared" si="0"/>
        <v>7.123938664440602</v>
      </c>
      <c r="G51">
        <f t="shared" si="1"/>
        <v>23.019066080013857</v>
      </c>
    </row>
    <row r="52" spans="1:7">
      <c r="A52" t="s">
        <v>58</v>
      </c>
      <c r="B52" s="2">
        <v>1269.75</v>
      </c>
      <c r="C52" s="2">
        <v>10495471742</v>
      </c>
      <c r="D52" s="4">
        <v>20.100000000000001</v>
      </c>
      <c r="E52" s="4">
        <v>45.2</v>
      </c>
      <c r="F52">
        <f t="shared" si="0"/>
        <v>7.1465753096813547</v>
      </c>
      <c r="G52">
        <f t="shared" si="1"/>
        <v>23.074209738422734</v>
      </c>
    </row>
    <row r="53" spans="1:7">
      <c r="A53" t="s">
        <v>59</v>
      </c>
      <c r="B53" s="2">
        <v>1300.04</v>
      </c>
      <c r="C53" s="2">
        <v>10577896487</v>
      </c>
      <c r="D53" s="4">
        <v>18.7</v>
      </c>
      <c r="E53" s="4">
        <v>45.5</v>
      </c>
      <c r="F53">
        <f t="shared" si="0"/>
        <v>7.170150312207034</v>
      </c>
      <c r="G53">
        <f t="shared" si="1"/>
        <v>23.082032423855043</v>
      </c>
    </row>
    <row r="54" spans="1:7">
      <c r="A54" t="s">
        <v>60</v>
      </c>
      <c r="B54" s="2">
        <v>1300.5999999999999</v>
      </c>
      <c r="C54" s="2">
        <v>10664530373</v>
      </c>
      <c r="D54" s="4">
        <v>17.2</v>
      </c>
      <c r="E54" s="4">
        <v>45.1</v>
      </c>
      <c r="F54">
        <f t="shared" si="0"/>
        <v>7.1705809754350511</v>
      </c>
      <c r="G54">
        <f t="shared" si="1"/>
        <v>23.090189153488556</v>
      </c>
    </row>
    <row r="55" spans="1:7">
      <c r="A55" t="s">
        <v>61</v>
      </c>
      <c r="B55" s="2">
        <v>1351.59</v>
      </c>
      <c r="C55" s="2">
        <v>10930372344</v>
      </c>
      <c r="D55" s="4">
        <v>17.5</v>
      </c>
      <c r="E55" s="4">
        <v>45.5</v>
      </c>
      <c r="F55">
        <f t="shared" si="0"/>
        <v>7.2090369561741143</v>
      </c>
      <c r="G55">
        <f t="shared" si="1"/>
        <v>23.114811204794325</v>
      </c>
    </row>
    <row r="56" spans="1:7">
      <c r="A56" t="s">
        <v>62</v>
      </c>
      <c r="B56" s="2">
        <v>1479.84</v>
      </c>
      <c r="C56" s="2">
        <v>1086344686</v>
      </c>
      <c r="D56" s="4">
        <v>17.3</v>
      </c>
      <c r="E56" s="4">
        <v>45.5</v>
      </c>
      <c r="F56">
        <f t="shared" si="0"/>
        <v>7.2996892528059503</v>
      </c>
      <c r="G56">
        <f t="shared" si="1"/>
        <v>20.806084398524042</v>
      </c>
    </row>
    <row r="57" spans="1:7">
      <c r="A57" t="s">
        <v>63</v>
      </c>
      <c r="B57" s="2">
        <v>1614.31</v>
      </c>
      <c r="C57" s="2">
        <v>10791927323</v>
      </c>
      <c r="D57" s="4">
        <v>16.399999999999999</v>
      </c>
      <c r="E57" s="4">
        <v>44.8</v>
      </c>
      <c r="F57">
        <f t="shared" si="0"/>
        <v>7.3866628997797426</v>
      </c>
      <c r="G57">
        <f t="shared" si="1"/>
        <v>23.102064221488938</v>
      </c>
    </row>
    <row r="58" spans="1:7">
      <c r="A58" t="s">
        <v>64</v>
      </c>
      <c r="B58" s="2">
        <v>1691.04</v>
      </c>
      <c r="C58" s="2">
        <v>10759334291</v>
      </c>
      <c r="D58" s="4">
        <v>16.100000000000001</v>
      </c>
      <c r="E58" s="4">
        <v>45.5</v>
      </c>
      <c r="F58">
        <f t="shared" si="0"/>
        <v>7.4330990032610371</v>
      </c>
      <c r="G58">
        <f t="shared" si="1"/>
        <v>23.099039520899922</v>
      </c>
    </row>
    <row r="59" spans="1:7">
      <c r="A59" t="s">
        <v>65</v>
      </c>
      <c r="B59" s="2">
        <v>1749.11</v>
      </c>
      <c r="C59" s="2">
        <v>10697895969</v>
      </c>
      <c r="D59" s="4">
        <v>16.2</v>
      </c>
      <c r="E59" s="4">
        <v>45.2</v>
      </c>
      <c r="F59">
        <f t="shared" si="0"/>
        <v>7.4668623661226761</v>
      </c>
      <c r="G59">
        <f t="shared" si="1"/>
        <v>23.093312920667188</v>
      </c>
    </row>
    <row r="60" spans="1:7">
      <c r="A60" t="s">
        <v>66</v>
      </c>
      <c r="B60" s="2">
        <v>1806.5</v>
      </c>
      <c r="C60" s="2">
        <v>10490781193</v>
      </c>
      <c r="D60" s="4">
        <v>16.7</v>
      </c>
      <c r="E60" s="4">
        <v>45.9</v>
      </c>
      <c r="F60">
        <f t="shared" si="0"/>
        <v>7.4991465505876951</v>
      </c>
      <c r="G60">
        <f t="shared" si="1"/>
        <v>23.073762726839234</v>
      </c>
    </row>
    <row r="61" spans="1:7">
      <c r="A61" t="s">
        <v>67</v>
      </c>
      <c r="B61" s="2">
        <v>1859.38</v>
      </c>
      <c r="C61" s="2">
        <v>10727105642</v>
      </c>
      <c r="D61" s="4">
        <v>15.7</v>
      </c>
      <c r="E61" s="4">
        <v>46.4</v>
      </c>
      <c r="F61">
        <f t="shared" si="0"/>
        <v>7.5279983778060098</v>
      </c>
      <c r="G61">
        <f t="shared" si="1"/>
        <v>23.09603961274664</v>
      </c>
    </row>
    <row r="62" spans="1:7">
      <c r="A62" t="s">
        <v>68</v>
      </c>
      <c r="B62" s="2">
        <v>1984.02</v>
      </c>
      <c r="C62" s="2">
        <v>10790373656</v>
      </c>
      <c r="D62" s="4">
        <v>17</v>
      </c>
      <c r="E62" s="4">
        <v>46</v>
      </c>
      <c r="F62">
        <f t="shared" si="0"/>
        <v>7.5928803684391699</v>
      </c>
      <c r="G62">
        <f t="shared" si="1"/>
        <v>23.101920245459301</v>
      </c>
    </row>
    <row r="63" spans="1:7">
      <c r="A63" t="s">
        <v>69</v>
      </c>
      <c r="B63" s="2">
        <v>2073.88</v>
      </c>
      <c r="C63" s="2">
        <v>11098615345</v>
      </c>
      <c r="D63" s="4">
        <v>16</v>
      </c>
      <c r="E63" s="4">
        <v>46.4</v>
      </c>
      <c r="F63">
        <f t="shared" si="0"/>
        <v>7.6371765279063064</v>
      </c>
      <c r="G63">
        <f t="shared" si="1"/>
        <v>23.130086193789865</v>
      </c>
    </row>
    <row r="64" spans="1:7">
      <c r="A64" t="s">
        <v>70</v>
      </c>
      <c r="B64" s="2">
        <v>2139.4699999999998</v>
      </c>
      <c r="C64" s="2">
        <v>10950576292</v>
      </c>
      <c r="D64" s="4">
        <v>15.7</v>
      </c>
      <c r="E64" s="4">
        <v>47</v>
      </c>
      <c r="F64">
        <f t="shared" si="0"/>
        <v>7.6683134137908135</v>
      </c>
      <c r="G64">
        <f t="shared" si="1"/>
        <v>23.116657921230434</v>
      </c>
    </row>
    <row r="65" spans="1:7">
      <c r="A65" t="s">
        <v>71</v>
      </c>
      <c r="B65" s="2">
        <v>2207.5</v>
      </c>
      <c r="C65" s="2">
        <v>10483154385</v>
      </c>
      <c r="D65" s="4">
        <v>14.6</v>
      </c>
      <c r="E65" s="4">
        <v>45.7</v>
      </c>
      <c r="F65">
        <f t="shared" si="0"/>
        <v>7.6996159324781148</v>
      </c>
      <c r="G65">
        <f t="shared" si="1"/>
        <v>23.073035461485738</v>
      </c>
    </row>
    <row r="66" spans="1:7">
      <c r="A66" t="s">
        <v>72</v>
      </c>
      <c r="B66" s="2">
        <v>2281.85</v>
      </c>
      <c r="C66" s="2">
        <v>10649048572</v>
      </c>
      <c r="D66" s="4">
        <v>15.8</v>
      </c>
      <c r="E66" s="4">
        <v>46.7</v>
      </c>
      <c r="F66">
        <f t="shared" si="0"/>
        <v>7.7327417964473923</v>
      </c>
      <c r="G66">
        <f t="shared" si="1"/>
        <v>23.088736389148711</v>
      </c>
    </row>
    <row r="67" spans="1:7">
      <c r="A67" t="s">
        <v>73</v>
      </c>
      <c r="B67" s="2">
        <v>2319.29</v>
      </c>
      <c r="C67" s="2">
        <v>10417442871</v>
      </c>
      <c r="D67" s="4">
        <v>18.100000000000001</v>
      </c>
      <c r="E67" s="4">
        <v>47.3</v>
      </c>
      <c r="F67">
        <f t="shared" ref="F67:F85" si="2">LN(B67)</f>
        <v>7.7490163833394883</v>
      </c>
      <c r="G67">
        <f t="shared" ref="G67:G85" si="3">LN(C67)</f>
        <v>23.06674743730056</v>
      </c>
    </row>
    <row r="68" spans="1:7">
      <c r="A68" t="s">
        <v>74</v>
      </c>
      <c r="B68" s="2">
        <v>2394.1</v>
      </c>
      <c r="C68" s="2">
        <v>10484738906</v>
      </c>
      <c r="D68" s="4">
        <v>16.899999999999999</v>
      </c>
      <c r="E68" s="4">
        <v>47.2</v>
      </c>
      <c r="F68">
        <f t="shared" si="2"/>
        <v>7.7807626563399328</v>
      </c>
      <c r="G68">
        <f t="shared" si="3"/>
        <v>23.073186599321193</v>
      </c>
    </row>
    <row r="69" spans="1:7">
      <c r="A69" t="s">
        <v>75</v>
      </c>
      <c r="B69" s="2">
        <v>2453.34</v>
      </c>
      <c r="C69" s="2">
        <v>10316852698</v>
      </c>
      <c r="D69" s="4">
        <v>15.7</v>
      </c>
      <c r="E69" s="4">
        <v>47.4</v>
      </c>
      <c r="F69">
        <f t="shared" si="2"/>
        <v>7.8052056404424244</v>
      </c>
      <c r="G69">
        <f t="shared" si="3"/>
        <v>23.057044579362646</v>
      </c>
    </row>
    <row r="70" spans="1:7">
      <c r="A70" t="s">
        <v>76</v>
      </c>
      <c r="B70" s="2">
        <v>2526.16</v>
      </c>
      <c r="C70" s="2">
        <v>10487971594</v>
      </c>
      <c r="D70" s="4">
        <v>16.5</v>
      </c>
      <c r="E70" s="4">
        <v>47.3</v>
      </c>
      <c r="F70">
        <f t="shared" si="2"/>
        <v>7.8344556421554534</v>
      </c>
      <c r="G70">
        <f t="shared" si="3"/>
        <v>23.073494874975463</v>
      </c>
    </row>
    <row r="71" spans="1:7">
      <c r="A71" t="s">
        <v>77</v>
      </c>
      <c r="B71" s="2">
        <v>2598.91</v>
      </c>
      <c r="C71" s="2">
        <v>10407624925</v>
      </c>
      <c r="D71" s="4">
        <v>16.100000000000001</v>
      </c>
      <c r="E71" s="4">
        <v>47.9</v>
      </c>
      <c r="F71">
        <f t="shared" si="2"/>
        <v>7.8628474053385551</v>
      </c>
      <c r="G71">
        <f t="shared" si="3"/>
        <v>23.065804540324326</v>
      </c>
    </row>
    <row r="72" spans="1:7">
      <c r="A72" t="s">
        <v>78</v>
      </c>
      <c r="B72" s="2">
        <v>2657.23</v>
      </c>
      <c r="C72" s="2">
        <v>10683875025</v>
      </c>
      <c r="D72" s="4">
        <v>16</v>
      </c>
      <c r="E72" s="4">
        <v>48.4</v>
      </c>
      <c r="F72">
        <f t="shared" si="2"/>
        <v>7.8850395058071365</v>
      </c>
      <c r="G72">
        <f t="shared" si="3"/>
        <v>23.092001434727731</v>
      </c>
    </row>
    <row r="73" spans="1:7">
      <c r="A73" t="s">
        <v>79</v>
      </c>
      <c r="B73" s="2">
        <v>2684.55</v>
      </c>
      <c r="C73" s="2">
        <v>11246709659</v>
      </c>
      <c r="D73" s="4">
        <v>16</v>
      </c>
      <c r="E73" s="4">
        <v>46.8</v>
      </c>
      <c r="F73">
        <f t="shared" si="2"/>
        <v>7.8952683951315272</v>
      </c>
      <c r="G73">
        <f t="shared" si="3"/>
        <v>23.143341448062202</v>
      </c>
    </row>
    <row r="74" spans="1:7">
      <c r="A74" t="s">
        <v>80</v>
      </c>
      <c r="B74" s="2">
        <v>2819.65</v>
      </c>
      <c r="C74" s="2">
        <v>10980753727</v>
      </c>
      <c r="D74" s="4">
        <v>15.3</v>
      </c>
      <c r="E74" s="4">
        <v>48.2</v>
      </c>
      <c r="F74">
        <f t="shared" si="2"/>
        <v>7.9443680427542676</v>
      </c>
      <c r="G74">
        <f t="shared" si="3"/>
        <v>23.11940991611807</v>
      </c>
    </row>
    <row r="75" spans="1:7">
      <c r="A75" t="s">
        <v>81</v>
      </c>
      <c r="B75" s="2">
        <v>2883.75</v>
      </c>
      <c r="C75" s="2">
        <v>1077442388</v>
      </c>
      <c r="D75" s="4">
        <v>15.3</v>
      </c>
      <c r="E75" s="4">
        <v>47.4</v>
      </c>
      <c r="F75">
        <f t="shared" si="2"/>
        <v>7.9668468094879632</v>
      </c>
      <c r="G75">
        <f t="shared" si="3"/>
        <v>20.797855910299244</v>
      </c>
    </row>
    <row r="76" spans="1:7">
      <c r="A76" t="s">
        <v>82</v>
      </c>
      <c r="B76" s="2">
        <v>2954.69</v>
      </c>
      <c r="C76" s="2">
        <v>11141947777</v>
      </c>
      <c r="D76" s="4">
        <v>15.4</v>
      </c>
      <c r="E76" s="4">
        <v>47.8</v>
      </c>
      <c r="F76">
        <f t="shared" si="2"/>
        <v>7.9911490173996871</v>
      </c>
      <c r="G76">
        <f t="shared" si="3"/>
        <v>23.133982901494022</v>
      </c>
    </row>
    <row r="77" spans="1:7">
      <c r="A77" t="s">
        <v>83</v>
      </c>
      <c r="B77" s="2">
        <v>3043.23</v>
      </c>
      <c r="C77" s="2">
        <v>10738645527</v>
      </c>
      <c r="D77" s="4">
        <v>15.8</v>
      </c>
      <c r="E77" s="4">
        <v>47.8</v>
      </c>
      <c r="F77">
        <f t="shared" si="2"/>
        <v>8.020674730346645</v>
      </c>
      <c r="G77">
        <f t="shared" si="3"/>
        <v>23.09711480326952</v>
      </c>
    </row>
    <row r="78" spans="1:7">
      <c r="A78" t="s">
        <v>84</v>
      </c>
      <c r="B78" s="2">
        <v>3089.74</v>
      </c>
      <c r="C78" s="2">
        <v>11100618375</v>
      </c>
      <c r="D78" s="4">
        <v>15.5</v>
      </c>
      <c r="E78" s="4">
        <v>47.4</v>
      </c>
      <c r="F78">
        <f t="shared" si="2"/>
        <v>8.0358422239567986</v>
      </c>
      <c r="G78">
        <f t="shared" si="3"/>
        <v>23.130266653172445</v>
      </c>
    </row>
    <row r="79" spans="1:7">
      <c r="A79" t="s">
        <v>85</v>
      </c>
      <c r="B79" s="2">
        <v>3132.17</v>
      </c>
      <c r="C79" s="2">
        <v>11154961943</v>
      </c>
      <c r="D79" s="4">
        <v>16</v>
      </c>
      <c r="E79" s="4">
        <v>47.7</v>
      </c>
      <c r="F79">
        <f t="shared" si="2"/>
        <v>8.0494813340540219</v>
      </c>
      <c r="G79">
        <f t="shared" si="3"/>
        <v>23.135150253171119</v>
      </c>
    </row>
    <row r="80" spans="1:7">
      <c r="A80" t="s">
        <v>86</v>
      </c>
      <c r="B80" s="2">
        <v>3196.66</v>
      </c>
      <c r="C80" s="2">
        <v>10955943878</v>
      </c>
      <c r="D80" s="4">
        <v>15</v>
      </c>
      <c r="E80" s="4">
        <v>47.9</v>
      </c>
      <c r="F80">
        <f t="shared" si="2"/>
        <v>8.0698617937014649</v>
      </c>
      <c r="G80">
        <f t="shared" si="3"/>
        <v>23.117147965844165</v>
      </c>
    </row>
    <row r="81" spans="1:9">
      <c r="A81" t="s">
        <v>87</v>
      </c>
      <c r="B81" s="2">
        <v>3261.72</v>
      </c>
      <c r="C81" s="2">
        <v>1100671132</v>
      </c>
      <c r="D81" s="4">
        <v>15.7</v>
      </c>
      <c r="E81" s="4">
        <v>47.5</v>
      </c>
      <c r="F81">
        <f t="shared" si="2"/>
        <v>8.0900099425868888</v>
      </c>
      <c r="G81">
        <f t="shared" si="3"/>
        <v>20.819185950703201</v>
      </c>
    </row>
    <row r="82" spans="1:9">
      <c r="A82" t="s">
        <v>88</v>
      </c>
      <c r="B82" s="2">
        <v>3367.22</v>
      </c>
      <c r="C82" s="2">
        <v>10803040691</v>
      </c>
      <c r="D82" s="4">
        <v>14.8</v>
      </c>
      <c r="E82" s="4">
        <v>47.1</v>
      </c>
      <c r="F82">
        <f t="shared" si="2"/>
        <v>8.1218427570918461</v>
      </c>
      <c r="G82">
        <f t="shared" si="3"/>
        <v>23.103093476913063</v>
      </c>
    </row>
    <row r="83" spans="1:9">
      <c r="A83" t="s">
        <v>89</v>
      </c>
      <c r="B83" s="2">
        <v>3453.09</v>
      </c>
      <c r="C83" s="2">
        <v>10701508288</v>
      </c>
      <c r="D83" s="4">
        <v>15.3</v>
      </c>
      <c r="E83" s="4">
        <v>47.2</v>
      </c>
      <c r="F83">
        <f t="shared" si="2"/>
        <v>8.1470247613422444</v>
      </c>
      <c r="G83">
        <f t="shared" si="3"/>
        <v>23.093650529975459</v>
      </c>
    </row>
    <row r="84" spans="1:9">
      <c r="A84" t="s">
        <v>90</v>
      </c>
      <c r="B84" s="2">
        <v>3482.96</v>
      </c>
      <c r="C84" s="2">
        <v>10969706638</v>
      </c>
      <c r="D84" s="4">
        <v>16</v>
      </c>
      <c r="E84" s="4">
        <v>46.7</v>
      </c>
      <c r="F84">
        <f t="shared" si="2"/>
        <v>8.1556377859474853</v>
      </c>
      <c r="G84">
        <f t="shared" si="3"/>
        <v>23.118403368669956</v>
      </c>
    </row>
    <row r="85" spans="1:9">
      <c r="A85" t="s">
        <v>91</v>
      </c>
      <c r="B85" s="2">
        <v>3513.87</v>
      </c>
      <c r="C85" s="2">
        <v>11103210022</v>
      </c>
      <c r="D85" s="4">
        <v>14.2</v>
      </c>
      <c r="E85" s="4">
        <v>46.6</v>
      </c>
      <c r="F85">
        <f t="shared" si="2"/>
        <v>8.1644732731850826</v>
      </c>
      <c r="G85">
        <f t="shared" si="3"/>
        <v>23.130500094628164</v>
      </c>
    </row>
    <row r="88" spans="1:9">
      <c r="A88" s="1" t="s">
        <v>92</v>
      </c>
    </row>
    <row r="89" spans="1:9">
      <c r="A89" t="s">
        <v>93</v>
      </c>
      <c r="B89" t="s">
        <v>94</v>
      </c>
    </row>
    <row r="90" spans="1:9">
      <c r="A90" t="s">
        <v>95</v>
      </c>
      <c r="B90" t="s">
        <v>96</v>
      </c>
    </row>
    <row r="92" spans="1:9">
      <c r="A92" s="1" t="s">
        <v>97</v>
      </c>
    </row>
    <row r="93" spans="1:9">
      <c r="A93" t="s">
        <v>93</v>
      </c>
      <c r="B93" t="s">
        <v>98</v>
      </c>
      <c r="C93" t="s">
        <v>99</v>
      </c>
      <c r="F93" s="6" t="s">
        <v>100</v>
      </c>
      <c r="G93" s="7"/>
      <c r="H93" s="7"/>
      <c r="I93" s="7"/>
    </row>
    <row r="94" spans="1:9">
      <c r="B94" t="s">
        <v>101</v>
      </c>
      <c r="C94" t="s">
        <v>102</v>
      </c>
      <c r="F94" s="6" t="s">
        <v>103</v>
      </c>
      <c r="G94" s="7"/>
      <c r="H94" s="7"/>
      <c r="I94" s="7"/>
    </row>
    <row r="95" spans="1:9">
      <c r="B95" t="s">
        <v>104</v>
      </c>
      <c r="C95" t="s">
        <v>105</v>
      </c>
      <c r="F95" s="8" t="s">
        <v>106</v>
      </c>
      <c r="G95" s="9"/>
      <c r="H95" s="9"/>
      <c r="I95" s="9"/>
    </row>
    <row r="96" spans="1:9">
      <c r="B96" t="s">
        <v>107</v>
      </c>
      <c r="C96" t="s">
        <v>105</v>
      </c>
      <c r="F96" s="10" t="s">
        <v>108</v>
      </c>
    </row>
    <row r="97" spans="1:9">
      <c r="B97" t="s">
        <v>109</v>
      </c>
      <c r="C97" t="s">
        <v>105</v>
      </c>
      <c r="F97" s="10" t="s">
        <v>110</v>
      </c>
    </row>
    <row r="98" spans="1:9">
      <c r="B98" t="s">
        <v>111</v>
      </c>
      <c r="C98" t="s">
        <v>112</v>
      </c>
      <c r="F98" s="6" t="s">
        <v>113</v>
      </c>
      <c r="G98" s="9"/>
      <c r="H98" s="9"/>
      <c r="I98" s="9"/>
    </row>
    <row r="99" spans="1:9">
      <c r="A99" t="s">
        <v>95</v>
      </c>
      <c r="B99" t="s">
        <v>98</v>
      </c>
      <c r="C99" t="s">
        <v>99</v>
      </c>
    </row>
    <row r="100" spans="1:9">
      <c r="B100" t="s">
        <v>104</v>
      </c>
      <c r="C100" t="s">
        <v>114</v>
      </c>
    </row>
    <row r="101" spans="1:9">
      <c r="B101" t="s">
        <v>107</v>
      </c>
      <c r="C101" t="s">
        <v>114</v>
      </c>
    </row>
    <row r="102" spans="1:9">
      <c r="B102" t="s">
        <v>109</v>
      </c>
      <c r="C102" t="s">
        <v>114</v>
      </c>
    </row>
    <row r="103" spans="1:9">
      <c r="B103" t="s">
        <v>111</v>
      </c>
      <c r="C103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2026-03-30T11:29:53Z</dcterms:created>
  <dcterms:modified xsi:type="dcterms:W3CDTF">2026-03-30T21:01:17Z</dcterms:modified>
  <cp:category/>
  <cp:contentStatus/>
</cp:coreProperties>
</file>